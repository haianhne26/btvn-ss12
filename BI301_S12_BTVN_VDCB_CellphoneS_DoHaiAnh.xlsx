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ownloads\BI RIKKEI\"/>
    </mc:Choice>
  </mc:AlternateContent>
  <xr:revisionPtr revIDLastSave="0" documentId="8_{C46A105D-7D6B-4A90-AFC6-CD47DAC43BAD}" xr6:coauthVersionLast="47" xr6:coauthVersionMax="47" xr10:uidLastSave="{00000000-0000-0000-0000-000000000000}"/>
  <bookViews>
    <workbookView xWindow="384" yWindow="384" windowWidth="17280" windowHeight="11340" activeTab="1" xr2:uid="{0D50B5B7-9F86-415D-9970-AE82A6A02957}"/>
  </bookViews>
  <sheets>
    <sheet name="PIVOT TABLE" sheetId="2" r:id="rId1"/>
    <sheet name="Du lieu ban hang" sheetId="1" r:id="rId2"/>
  </sheets>
  <definedNames>
    <definedName name="Slicer_Chi_nhánh">#N/A</definedName>
    <definedName name="Slicer_Tên_nhóm_phụ_kiện">#N/A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<sst xmlns="http://schemas.openxmlformats.org/spreadsheetml/2006/main" count="68" uniqueCount="34">
  <si>
    <t>Mã giao dịch</t>
  </si>
  <si>
    <t>Ngày bán</t>
  </si>
  <si>
    <t>Khu vực</t>
  </si>
  <si>
    <t>Chi nhánh</t>
  </si>
  <si>
    <t>Tên nhóm phụ kiện</t>
  </si>
  <si>
    <t>Tên mặt hàng</t>
  </si>
  <si>
    <t>Số lượng bán</t>
  </si>
  <si>
    <t>Đơn giá niêm yết (VNĐ)</t>
  </si>
  <si>
    <t>Doanh số thực tế (VNĐ)</t>
  </si>
  <si>
    <t>TR-101</t>
  </si>
  <si>
    <t>Hà Nội</t>
  </si>
  <si>
    <t>Hà Nội - Thái Hà</t>
  </si>
  <si>
    <t>Củ sạc nhanh</t>
  </si>
  <si>
    <t>Sạc nhanh Anker 20W</t>
  </si>
  <si>
    <t>TR-102</t>
  </si>
  <si>
    <t>Hà Nội - Cầu Giấy</t>
  </si>
  <si>
    <t>Tai nghe</t>
  </si>
  <si>
    <t>Tai nghe Bluetooth Soundpeats</t>
  </si>
  <si>
    <t>TR-103</t>
  </si>
  <si>
    <t>TP.HCM</t>
  </si>
  <si>
    <t>TP.HCM - Trần Quang Khải</t>
  </si>
  <si>
    <t>TR-104</t>
  </si>
  <si>
    <t>TP.HCM - Nguyễn Thị Minh Khai</t>
  </si>
  <si>
    <t>Ốp lưng &amp; Kính</t>
  </si>
  <si>
    <t>Kính cường lực Kingbull</t>
  </si>
  <si>
    <t>TR-105</t>
  </si>
  <si>
    <t>Grand Total</t>
  </si>
  <si>
    <t>Sum of Doanh số</t>
  </si>
  <si>
    <t>Values</t>
  </si>
  <si>
    <t>Total Sum of Doanh số</t>
  </si>
  <si>
    <t>Total Sum of SL bán</t>
  </si>
  <si>
    <t>Sum of SL bán</t>
  </si>
  <si>
    <t>Tổng Doanh số (VNĐ)</t>
  </si>
  <si>
    <t>Doanh số theo chi nhánh (VNĐ)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</si>
</sst>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 x14ac:knownFonts="1">
    <font>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4" fontId="0" fillId="0" borderId="0" xfId="0" applyNumberFormat="1"/>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[BI301_S12_BTVN_VDCB_CellphoneS_DoHaiAnh.xlsx]PIVOT TABLE!PT2</c:name>
    <c:fmtId val="0"/>
  </c:pivotSource>
  <c:chart>
    <c:title>
      <c:tx>
        <c:rich>
          <a:bodyPr/>
          <a:lstStyle/>
          <a:p>
            <a:pPr>
              <a:defRPr/>
            </a:pPr>
            <a:r>
              <a:rPr lang="en-US"/>
              <a:t>Doanh thu theo nhóm phụ kiện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TABLE'!$C$14</c:f>
              <c:strCache>
                <c:ptCount val="1"/>
                <c:pt idx="0">
                  <c:v>Total</c:v>
                </c:pt>
              </c:strCache>
            </c:strRef>
          </c:tx>
          <c:invertIfNegative val="0"/>
          <c:cat>
            <c:strRef>
              <c:f>'PIVOT TABLE'!$B$15:$B$18</c:f>
              <c:strCache>
                <c:ptCount val="3"/>
                <c:pt idx="0">
                  <c:v>Củ sạc nhanh</c:v>
                </c:pt>
                <c:pt idx="1">
                  <c:v>Ốp lưng &amp; Kính</c:v>
                </c:pt>
                <c:pt idx="2">
                  <c:v>Tai nghe</c:v>
                </c:pt>
              </c:strCache>
            </c:strRef>
          </c:cat>
          <c:val>
            <c:numRef>
              <c:f>'PIVOT TABLE'!$C$15:$C$18</c:f>
              <c:numCache>
                <c:formatCode>#.##0</c:formatCode>
                <c:ptCount val="3"/>
                <c:pt idx="0">
                  <c:v>14000000</c:v>
                </c:pt>
                <c:pt idx="1">
                  <c:v>7200000</c:v>
                </c:pt>
                <c:pt idx="2">
                  <c:v>15800000</c:v>
                </c:pt>
              </c:numCache>
            </c:numRef>
          </c:val>
          <c:extLst>
            <c:ext xmlns:c16="http://schemas.microsoft.com/office/drawing/2014/chart" uri="{C3380CC4-5D6E-409C-BE32-E72D297353CC}">
              <c16:uniqueId val="{00000000-5D33-44D9-9307-41ED719230B3}"/>
            </c:ext>
          </c:extLst>
        </c:ser>
        <c:dLbls>
          <c:showLegendKey val="0"/>
          <c:showVal val="0"/>
          <c:showCatName val="0"/>
          <c:showSerName val="0"/>
          <c:showPercent val="0"/>
          <c:showBubbleSize val="0"/>
        </c:dLbls>
        <c:gapWidth val="150"/>
        <c:axId val="2071981312"/>
        <c:axId val="2000196336"/>
      </c:barChart>
      <c:catAx>
        <c:axId val="2071981312"/>
        <c:scaling>
          <c:orientation val="minMax"/>
        </c:scaling>
        <c:delete val="0"/>
        <c:axPos val="b"/>
        <c:numFmt formatCode="General" sourceLinked="1"/>
        <c:majorTickMark val="out"/>
        <c:minorTickMark val="none"/>
        <c:tickLblPos val="nextTo"/>
        <c:crossAx val="2000196336"/>
        <c:crosses val="autoZero"/>
        <c:auto val="1"/>
        <c:lblAlgn val="ctr"/>
        <c:lblOffset val="100"/>
        <c:noMultiLvlLbl val="0"/>
      </c:catAx>
      <c:valAx>
        <c:axId val="2000196336"/>
        <c:scaling>
          <c:orientation val="minMax"/>
        </c:scaling>
        <c:delete val="0"/>
        <c:axPos val="l"/>
        <c:majorGridlines/>
        <c:numFmt formatCode="#.##0" sourceLinked="1"/>
        <c:majorTickMark val="out"/>
        <c:minorTickMark val="none"/>
        <c:tickLblPos val="nextTo"/>
        <c:crossAx val="207198131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[BI301_S12_BTVN_VDCB_CellphoneS_DoHaiAnh.xlsx]PIVOT TABLE!PT3</c:name>
    <c:fmtId val="0"/>
  </c:pivotSource>
  <c:chart>
    <c:title>
      <c:tx>
        <c:rich>
          <a:bodyPr/>
          <a:lstStyle/>
          <a:p>
            <a:pPr>
              <a:defRPr/>
            </a:pPr>
            <a:r>
              <a:rPr lang="en-US"/>
              <a:t>Doanh thu theo chi nhánh (năm 2026)</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TABLE'!$C$23</c:f>
              <c:strCache>
                <c:ptCount val="1"/>
                <c:pt idx="0">
                  <c:v>Total</c:v>
                </c:pt>
              </c:strCache>
            </c:strRef>
          </c:tx>
          <c:invertIfNegative val="0"/>
          <c:cat>
            <c:strRef>
              <c:f>'PIVOT TABLE'!$B$24:$B$28</c:f>
              <c:strCache>
                <c:ptCount val="4"/>
                <c:pt idx="0">
                  <c:v>Hà Nội - Cầu Giấy</c:v>
                </c:pt>
                <c:pt idx="1">
                  <c:v>Hà Nội - Thái Hà</c:v>
                </c:pt>
                <c:pt idx="2">
                  <c:v>TP.HCM - Nguyễn Thị Minh Khai</c:v>
                </c:pt>
                <c:pt idx="3">
                  <c:v>TP.HCM - Trần Quang Khải</c:v>
                </c:pt>
              </c:strCache>
            </c:strRef>
          </c:cat>
          <c:val>
            <c:numRef>
              <c:f>'PIVOT TABLE'!$C$24:$C$28</c:f>
              <c:numCache>
                <c:formatCode>#.##0</c:formatCode>
                <c:ptCount val="4"/>
                <c:pt idx="0">
                  <c:v>6320000</c:v>
                </c:pt>
                <c:pt idx="1">
                  <c:v>14730000</c:v>
                </c:pt>
                <c:pt idx="2">
                  <c:v>7200000</c:v>
                </c:pt>
                <c:pt idx="3">
                  <c:v>8750000</c:v>
                </c:pt>
              </c:numCache>
            </c:numRef>
          </c:val>
          <c:extLst>
            <c:ext xmlns:c16="http://schemas.microsoft.com/office/drawing/2014/chart" uri="{C3380CC4-5D6E-409C-BE32-E72D297353CC}">
              <c16:uniqueId val="{00000000-1EDA-456F-9096-6D5590DC6A9C}"/>
            </c:ext>
          </c:extLst>
        </c:ser>
        <c:dLbls>
          <c:showLegendKey val="0"/>
          <c:showVal val="0"/>
          <c:showCatName val="0"/>
          <c:showSerName val="0"/>
          <c:showPercent val="0"/>
          <c:showBubbleSize val="0"/>
        </c:dLbls>
        <c:gapWidth val="150"/>
        <c:axId val="2071978064"/>
        <c:axId val="1876354480"/>
      </c:barChart>
      <c:catAx>
        <c:axId val="2071978064"/>
        <c:scaling>
          <c:orientation val="minMax"/>
        </c:scaling>
        <c:delete val="0"/>
        <c:axPos val="l"/>
        <c:numFmt formatCode="General" sourceLinked="1"/>
        <c:majorTickMark val="out"/>
        <c:minorTickMark val="none"/>
        <c:tickLblPos val="nextTo"/>
        <c:crossAx val="1876354480"/>
        <c:crosses val="autoZero"/>
        <c:auto val="1"/>
        <c:lblAlgn val="ctr"/>
        <c:lblOffset val="100"/>
        <c:noMultiLvlLbl val="0"/>
      </c:catAx>
      <c:valAx>
        <c:axId val="1876354480"/>
        <c:scaling>
          <c:orientation val="minMax"/>
        </c:scaling>
        <c:delete val="0"/>
        <c:axPos val="b"/>
        <c:majorGridlines/>
        <c:numFmt formatCode="#.##0" sourceLinked="1"/>
        <c:majorTickMark val="out"/>
        <c:minorTickMark val="none"/>
        <c:tickLblPos val="nextTo"/>
        <c:crossAx val="207197806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1150620</xdr:colOff>
      <xdr:row>15</xdr:row>
      <xdr:rowOff>177800</xdr:rowOff>
    </xdr:from>
    <xdr:to>
      <xdr:col>5</xdr:col>
      <xdr:colOff>1361440</xdr:colOff>
      <xdr:row>27</xdr:row>
      <xdr:rowOff>142240</xdr:rowOff>
    </xdr:to>
    <mc:AlternateContent xmlns:mc="http://schemas.openxmlformats.org/markup-compatibility/2006">
      <mc:Choice xmlns:a14="http://schemas.microsoft.com/office/drawing/2010/main" Requires="a14">
        <xdr:graphicFrame macro="">
          <xdr:nvGraphicFramePr>
            <xdr:cNvPr id="2" name="S_Nhom">
              <a:extLst>
                <a:ext uri="{FF2B5EF4-FFF2-40B4-BE49-F238E27FC236}">
                  <a16:creationId xmlns:a16="http://schemas.microsoft.com/office/drawing/2014/main" id="{C8814C99-B628-8C93-1AC4-6F3B7404DA98}"/>
                </a:ext>
              </a:extLst>
            </xdr:cNvPr>
            <xdr:cNvGraphicFramePr/>
          </xdr:nvGraphicFramePr>
          <xdr:xfrm>
            <a:off x="0" y="0"/>
            <a:ext cx="0" cy="0"/>
          </xdr:xfrm>
          <a:graphic>
            <a:graphicData uri="http://schemas.microsoft.com/office/drawing/2010/slicer">
              <sle:slicer xmlns:sle="http://schemas.microsoft.com/office/drawing/2010/slicer" name="S_Nhom"/>
            </a:graphicData>
          </a:graphic>
        </xdr:graphicFrame>
      </mc:Choice>
      <mc:Fallback>
        <xdr:sp macro="" textlink="">
          <xdr:nvSpPr>
            <xdr:cNvPr id="0" name=""/>
            <xdr:cNvSpPr>
              <a:spLocks noTextEdit="1"/>
            </xdr:cNvSpPr>
          </xdr:nvSpPr>
          <xdr:spPr>
            <a:xfrm>
              <a:off x="6675120" y="2921000"/>
              <a:ext cx="2032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xdr:colOff>
      <xdr:row>29</xdr:row>
      <xdr:rowOff>157480</xdr:rowOff>
    </xdr:from>
    <xdr:to>
      <xdr:col>5</xdr:col>
      <xdr:colOff>279400</xdr:colOff>
      <xdr:row>41</xdr:row>
      <xdr:rowOff>121920</xdr:rowOff>
    </xdr:to>
    <mc:AlternateContent xmlns:mc="http://schemas.openxmlformats.org/markup-compatibility/2006">
      <mc:Choice xmlns:a14="http://schemas.microsoft.com/office/drawing/2010/main" Requires="a14">
        <xdr:graphicFrame macro="">
          <xdr:nvGraphicFramePr>
            <xdr:cNvPr id="3" name="S_CN">
              <a:extLst>
                <a:ext uri="{FF2B5EF4-FFF2-40B4-BE49-F238E27FC236}">
                  <a16:creationId xmlns:a16="http://schemas.microsoft.com/office/drawing/2014/main" id="{225CA024-2C4E-0097-0D6E-96B657D33214}"/>
                </a:ext>
              </a:extLst>
            </xdr:cNvPr>
            <xdr:cNvGraphicFramePr/>
          </xdr:nvGraphicFramePr>
          <xdr:xfrm>
            <a:off x="0" y="0"/>
            <a:ext cx="0" cy="0"/>
          </xdr:xfrm>
          <a:graphic>
            <a:graphicData uri="http://schemas.microsoft.com/office/drawing/2010/slicer">
              <sle:slicer xmlns:sle="http://schemas.microsoft.com/office/drawing/2010/slicer" name="S_CN"/>
            </a:graphicData>
          </a:graphic>
        </xdr:graphicFrame>
      </mc:Choice>
      <mc:Fallback>
        <xdr:sp macro="" textlink="">
          <xdr:nvSpPr>
            <xdr:cNvPr id="0" name=""/>
            <xdr:cNvSpPr>
              <a:spLocks noTextEdit="1"/>
            </xdr:cNvSpPr>
          </xdr:nvSpPr>
          <xdr:spPr>
            <a:xfrm>
              <a:off x="5593080" y="5461000"/>
              <a:ext cx="2032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1036320</xdr:colOff>
      <xdr:row>14</xdr:row>
      <xdr:rowOff>106680</xdr:rowOff>
    </xdr:from>
    <xdr:to>
      <xdr:col>8</xdr:col>
      <xdr:colOff>398780</xdr:colOff>
      <xdr:row>28</xdr:row>
      <xdr:rowOff>86360</xdr:rowOff>
    </xdr:to>
    <xdr:graphicFrame macro="">
      <xdr:nvGraphicFramePr>
        <xdr:cNvPr id="4" name="Chart 3">
          <a:extLst>
            <a:ext uri="{FF2B5EF4-FFF2-40B4-BE49-F238E27FC236}">
              <a16:creationId xmlns:a16="http://schemas.microsoft.com/office/drawing/2014/main" id="{3D0569DA-A990-FE44-A1C2-629C2A75D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1036320</xdr:colOff>
      <xdr:row>29</xdr:row>
      <xdr:rowOff>30480</xdr:rowOff>
    </xdr:from>
    <xdr:to>
      <xdr:col>8</xdr:col>
      <xdr:colOff>398780</xdr:colOff>
      <xdr:row>43</xdr:row>
      <xdr:rowOff>10160</xdr:rowOff>
    </xdr:to>
    <xdr:graphicFrame macro="">
      <xdr:nvGraphicFramePr>
        <xdr:cNvPr id="5" name="Chart 4">
          <a:extLst>
            <a:ext uri="{FF2B5EF4-FFF2-40B4-BE49-F238E27FC236}">
              <a16:creationId xmlns:a16="http://schemas.microsoft.com/office/drawing/2014/main" id="{2D175718-03BF-9A5B-F66E-C5A227D1D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10.921417129626" createdVersion="8" refreshedVersion="8" minRefreshableVersion="3" recordCount="5" xr:uid="{1CE20154-032F-4178-BA27-3871A9DB8A6F}">
  <cacheSource type="worksheet">
    <worksheetSource ref="A1:I6" sheet="Du lieu ban hang"/>
  </cacheSource>
  <cacheFields count="9">
    <cacheField name="Mã giao dịch" numFmtId="0">
      <sharedItems/>
    </cacheField>
    <cacheField name="Ngày bán" numFmtId="14">
      <sharedItems containsSemiMixedTypes="0" containsNonDate="0" containsDate="1" containsString="0" minDate="2026-09-01T00:00:00" maxDate="2026-09-03T00:00:00"/>
    </cacheField>
    <cacheField name="Khu vực" numFmtId="0">
      <sharedItems/>
    </cacheField>
    <cacheField name="Chi nhánh" numFmtId="0">
      <sharedItems count="4">
        <s v="Hà Nội - Thái Hà"/>
        <s v="Hà Nội - Cầu Giấy"/>
        <s v="TP.HCM - Trần Quang Khải"/>
        <s v="TP.HCM - Nguyễn Thị Minh Khai"/>
      </sharedItems>
    </cacheField>
    <cacheField name="Tên nhóm phụ kiện" numFmtId="0">
      <sharedItems count="3">
        <s v="Củ sạc nhanh"/>
        <s v="Tai nghe"/>
        <s v="Ốp lưng &amp; Kính"/>
      </sharedItems>
    </cacheField>
    <cacheField name="Tên mặt hàng" numFmtId="0">
      <sharedItems/>
    </cacheField>
    <cacheField name="Số lượng bán" numFmtId="164">
      <sharedItems containsSemiMixedTypes="0" containsString="0" containsNumber="1" containsInteger="1" minValue="8" maxValue="40"/>
    </cacheField>
    <cacheField name="Đơn giá niêm yết (VNĐ)" numFmtId="164">
      <sharedItems containsSemiMixedTypes="0" containsString="0" containsNumber="1" containsInteger="1" minValue="180000" maxValue="790000"/>
    </cacheField>
    <cacheField name="Doanh số thực tế (VNĐ)" numFmtId="164">
      <sharedItems containsSemiMixedTypes="0" containsString="0" containsNumber="1" containsInteger="1" minValue="5250000" maxValue="9480000"/>
    </cacheField>
  </cacheFields>
  <extLst>
    <ext xmlns:x14="http://schemas.microsoft.com/office/spreadsheetml/2009/9/main" uri="{725AE2AE-9491-48be-B2B4-4EB974FC3084}">
      <x14:pivotCacheDefinition pivotCacheId="1097332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TR-101"/>
    <d v="2026-09-01T00:00:00"/>
    <s v="Hà Nội"/>
    <x v="0"/>
    <x v="0"/>
    <s v="Sạc nhanh Anker 20W"/>
    <n v="15"/>
    <n v="350000"/>
    <n v="5250000"/>
  </r>
  <r>
    <s v="TR-102"/>
    <d v="2026-09-01T00:00:00"/>
    <s v="Hà Nội"/>
    <x v="1"/>
    <x v="1"/>
    <s v="Tai nghe Bluetooth Soundpeats"/>
    <n v="8"/>
    <n v="790000"/>
    <n v="6320000"/>
  </r>
  <r>
    <s v="TR-103"/>
    <d v="2026-09-02T00:00:00"/>
    <s v="TP.HCM"/>
    <x v="2"/>
    <x v="0"/>
    <s v="Sạc nhanh Anker 20W"/>
    <n v="25"/>
    <n v="350000"/>
    <n v="8750000"/>
  </r>
  <r>
    <s v="TR-104"/>
    <d v="2026-09-02T00:00:00"/>
    <s v="TP.HCM"/>
    <x v="3"/>
    <x v="2"/>
    <s v="Kính cường lực Kingbull"/>
    <n v="40"/>
    <n v="180000"/>
    <n v="7200000"/>
  </r>
  <r>
    <s v="TR-105"/>
    <d v="2026-09-02T00:00:00"/>
    <s v="Hà Nội"/>
    <x v="0"/>
    <x v="1"/>
    <s v="Tai nghe Bluetooth Soundpeats"/>
    <n v="12"/>
    <n v="790000"/>
    <n v="94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74921-7A71-4FC5-9451-3FE6C7DCD727}" name="PT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3:C28" firstHeaderRow="1" firstDataRow="1" firstDataCol="1"/>
  <pivotFields count="9">
    <pivotField compact="0" outline="0" showAll="0"/>
    <pivotField compact="0" numFmtId="14" outline="0" showAll="0"/>
    <pivotField compact="0" outline="0" showAll="0"/>
    <pivotField axis="axisRow" compact="0" outline="0" showAll="0">
      <items count="5">
        <item x="1"/>
        <item x="0"/>
        <item x="3"/>
        <item x="2"/>
        <item t="default"/>
      </items>
    </pivotField>
    <pivotField compact="0" outline="0" showAll="0">
      <items count="4">
        <item x="0"/>
        <item x="2"/>
        <item x="1"/>
        <item t="default"/>
      </items>
    </pivotField>
    <pivotField compact="0" outline="0" showAll="0"/>
    <pivotField compact="0" numFmtId="164" outline="0" showAll="0"/>
    <pivotField compact="0" numFmtId="164" outline="0" showAll="0"/>
    <pivotField dataField="1" compact="0" numFmtId="164" outline="0" showAll="0"/>
  </pivotFields>
  <rowFields count="1">
    <field x="3"/>
  </rowFields>
  <rowItems count="5">
    <i>
      <x/>
    </i>
    <i>
      <x v="1"/>
    </i>
    <i>
      <x v="2"/>
    </i>
    <i>
      <x v="3"/>
    </i>
    <i t="grand">
      <x/>
    </i>
  </rowItems>
  <colItems count="1">
    <i/>
  </colItems>
  <dataFields count="1">
    <dataField name="Doanh số theo chi nhánh (VNĐ)"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B19F2-39F3-4944-BEAA-29F8E534BF57}" name="PT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14:C18" firstHeaderRow="1" firstDataRow="1" firstDataCol="1"/>
  <pivotFields count="9">
    <pivotField compact="0" outline="0" showAll="0"/>
    <pivotField compact="0" numFmtId="14" outline="0" showAll="0"/>
    <pivotField compact="0" outline="0" showAll="0"/>
    <pivotField compact="0" outline="0" showAll="0">
      <items count="5">
        <item x="1"/>
        <item x="0"/>
        <item x="3"/>
        <item x="2"/>
        <item t="default"/>
      </items>
    </pivotField>
    <pivotField axis="axisRow" compact="0" outline="0" showAll="0">
      <items count="4">
        <item x="0"/>
        <item x="2"/>
        <item x="1"/>
        <item t="default"/>
      </items>
    </pivotField>
    <pivotField compact="0" outline="0" showAll="0"/>
    <pivotField compact="0" numFmtId="164" outline="0" showAll="0"/>
    <pivotField compact="0" numFmtId="164" outline="0" showAll="0"/>
    <pivotField dataField="1" compact="0" numFmtId="164" outline="0" showAll="0"/>
  </pivotFields>
  <rowFields count="1">
    <field x="4"/>
  </rowFields>
  <rowItems count="4">
    <i>
      <x/>
    </i>
    <i>
      <x v="1"/>
    </i>
    <i>
      <x v="2"/>
    </i>
    <i t="grand">
      <x/>
    </i>
  </rowItems>
  <colItems count="1">
    <i/>
  </colItems>
  <dataFields count="1">
    <dataField name="Tổng Doanh số (VNĐ)"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2340D-4713-42C7-8004-3A18E36A88C4}" name="PT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L9" firstHeaderRow="1" firstDataRow="3" firstDataCol="1"/>
  <pivotFields count="9">
    <pivotField compact="0" outline="0" showAll="0"/>
    <pivotField compact="0" numFmtId="14" outline="0" showAll="0"/>
    <pivotField compact="0" outline="0" showAll="0"/>
    <pivotField axis="axisCol" compact="0" outline="0" showAll="0">
      <items count="5">
        <item x="1"/>
        <item x="0"/>
        <item x="3"/>
        <item x="2"/>
        <item t="default"/>
      </items>
    </pivotField>
    <pivotField axis="axisRow" compact="0" outline="0" showAll="0">
      <items count="4">
        <item x="0"/>
        <item x="2"/>
        <item x="1"/>
        <item t="default"/>
      </items>
    </pivotField>
    <pivotField compact="0" outline="0" showAll="0"/>
    <pivotField dataField="1" compact="0" numFmtId="164" outline="0" showAll="0"/>
    <pivotField compact="0" numFmtId="164" outline="0" showAll="0"/>
    <pivotField dataField="1" compact="0" numFmtId="164" outline="0" showAll="0"/>
  </pivotFields>
  <rowFields count="1">
    <field x="4"/>
  </rowFields>
  <rowItems count="4">
    <i>
      <x/>
    </i>
    <i>
      <x v="1"/>
    </i>
    <i>
      <x v="2"/>
    </i>
    <i t="grand">
      <x/>
    </i>
  </rowItems>
  <colFields count="2">
    <field x="3"/>
    <field x="-2"/>
  </colFields>
  <colItems count="10">
    <i>
      <x/>
      <x/>
    </i>
    <i r="1" i="1">
      <x v="1"/>
    </i>
    <i>
      <x v="1"/>
      <x/>
    </i>
    <i r="1" i="1">
      <x v="1"/>
    </i>
    <i>
      <x v="2"/>
      <x/>
    </i>
    <i r="1" i="1">
      <x v="1"/>
    </i>
    <i>
      <x v="3"/>
      <x/>
    </i>
    <i r="1" i="1">
      <x v="1"/>
    </i>
    <i t="grand">
      <x/>
    </i>
    <i t="grand" i="1">
      <x/>
    </i>
  </colItems>
  <dataFields count="2">
    <dataField name="Sum of Doanh số" fld="8" baseField="0" baseItem="0" numFmtId="164"/>
    <dataField name="Sum of SL bán"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ên_nhóm_phụ_kiện" xr10:uid="{9C0FF03C-60AD-4ADF-BD9E-07012F3AAA14}" sourceName="Tên nhóm phụ kiện">
  <pivotTables>
    <pivotTable tabId="2" name="PT2"/>
    <pivotTable tabId="2" name="PT1"/>
    <pivotTable tabId="2" name="PT3"/>
  </pivotTables>
  <data>
    <tabular pivotCacheId="109733234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062F1193-1287-44DF-B030-606952EE2341}" sourceName="Chi nhánh">
  <pivotTables>
    <pivotTable tabId="2" name="PT3"/>
    <pivotTable tabId="2" name="PT1"/>
    <pivotTable tabId="2" name="PT2"/>
  </pivotTables>
  <data>
    <tabular pivotCacheId="109733234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_Nhom" xr10:uid="{E07F926A-226C-4A0D-BC94-37233D82983C}" cache="Slicer_Tên_nhóm_phụ_kiện" caption="Nhóm phụ kiện" rowHeight="247650"/>
  <slicer name="S_CN" xr10:uid="{708EC900-C16F-4983-8ECC-7A3EE4F59CF1}" cache="Slicer_Chi_nhánh" caption="Chi nhán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8C0C-1487-4D77-939B-C3B1787B3706}">
  <dimension ref="B3:L28"/>
  <sheetViews>
    <sheetView workbookViewId="0"/>
  </sheetViews>
  <sheetFormatPr defaultRowHeight="14.4" x14ac:dyDescent="0.3"/>
  <cols>
    <col min="2" max="2" width="18.5546875" bestFit="1" customWidth="1"/>
    <col min="3" max="10" width="26.5546875" bestFit="1" customWidth="1"/>
    <col min="11" max="11" width="19.109375" bestFit="1" customWidth="1"/>
    <col min="12" max="12" width="17" bestFit="1" customWidth="1"/>
  </cols>
  <sheetData>
    <row r="3" spans="2:12" x14ac:dyDescent="0.3">
      <c r="C3" s="3" t="s">
        <v>3</v>
      </c>
      <c r="D3" s="3" t="s">
        <v>28</v>
      </c>
    </row>
    <row r="4" spans="2:12" x14ac:dyDescent="0.3">
      <c r="C4" t="s">
        <v>15</v>
      </c>
      <c r="E4" t="s">
        <v>11</v>
      </c>
      <c r="G4" t="s">
        <v>22</v>
      </c>
      <c r="I4" t="s">
        <v>20</v>
      </c>
      <c r="K4" t="s">
        <v>29</v>
      </c>
      <c r="L4" t="s">
        <v>30</v>
      </c>
    </row>
    <row r="5" spans="2:12" x14ac:dyDescent="0.3">
      <c r="B5" s="3" t="s">
        <v>4</v>
      </c>
      <c r="C5" t="s">
        <v>27</v>
      </c>
      <c r="D5" t="s">
        <v>31</v>
      </c>
      <c r="E5" t="s">
        <v>27</v>
      </c>
      <c r="F5" t="s">
        <v>31</v>
      </c>
      <c r="G5" t="s">
        <v>27</v>
      </c>
      <c r="H5" t="s">
        <v>31</v>
      </c>
      <c r="I5" t="s">
        <v>27</v>
      </c>
      <c r="J5" t="s">
        <v>31</v>
      </c>
    </row>
    <row r="6" spans="2:12" x14ac:dyDescent="0.3">
      <c r="B6" t="s">
        <v>12</v>
      </c>
      <c r="C6" s="2"/>
      <c r="D6" s="2"/>
      <c r="E6" s="2">
        <v>5250000</v>
      </c>
      <c r="F6" s="2">
        <v>15</v>
      </c>
      <c r="G6" s="2"/>
      <c r="H6" s="2"/>
      <c r="I6" s="2">
        <v>8750000</v>
      </c>
      <c r="J6" s="2">
        <v>25</v>
      </c>
      <c r="K6" s="2">
        <v>14000000</v>
      </c>
      <c r="L6" s="2">
        <v>40</v>
      </c>
    </row>
    <row r="7" spans="2:12" x14ac:dyDescent="0.3">
      <c r="B7" t="s">
        <v>23</v>
      </c>
      <c r="C7" s="2"/>
      <c r="D7" s="2"/>
      <c r="E7" s="2"/>
      <c r="F7" s="2"/>
      <c r="G7" s="2">
        <v>7200000</v>
      </c>
      <c r="H7" s="2">
        <v>40</v>
      </c>
      <c r="I7" s="2"/>
      <c r="J7" s="2"/>
      <c r="K7" s="2">
        <v>7200000</v>
      </c>
      <c r="L7" s="2">
        <v>40</v>
      </c>
    </row>
    <row r="8" spans="2:12" x14ac:dyDescent="0.3">
      <c r="B8" t="s">
        <v>16</v>
      </c>
      <c r="C8" s="2">
        <v>6320000</v>
      </c>
      <c r="D8" s="2">
        <v>8</v>
      </c>
      <c r="E8" s="2">
        <v>9480000</v>
      </c>
      <c r="F8" s="2">
        <v>12</v>
      </c>
      <c r="G8" s="2"/>
      <c r="H8" s="2"/>
      <c r="I8" s="2"/>
      <c r="J8" s="2"/>
      <c r="K8" s="2">
        <v>15800000</v>
      </c>
      <c r="L8" s="2">
        <v>20</v>
      </c>
    </row>
    <row r="9" spans="2:12" x14ac:dyDescent="0.3">
      <c r="B9" t="s">
        <v>26</v>
      </c>
      <c r="C9" s="2">
        <v>6320000</v>
      </c>
      <c r="D9" s="2">
        <v>8</v>
      </c>
      <c r="E9" s="2">
        <v>14730000</v>
      </c>
      <c r="F9" s="2">
        <v>27</v>
      </c>
      <c r="G9" s="2">
        <v>7200000</v>
      </c>
      <c r="H9" s="2">
        <v>40</v>
      </c>
      <c r="I9" s="2">
        <v>8750000</v>
      </c>
      <c r="J9" s="2">
        <v>25</v>
      </c>
      <c r="K9" s="2">
        <v>37000000</v>
      </c>
      <c r="L9" s="2">
        <v>100</v>
      </c>
    </row>
    <row r="14" spans="2:12" x14ac:dyDescent="0.3">
      <c r="B14" s="3" t="s">
        <v>4</v>
      </c>
      <c r="C14" t="s">
        <v>32</v>
      </c>
    </row>
    <row r="15" spans="2:12" x14ac:dyDescent="0.3">
      <c r="B15" t="s">
        <v>12</v>
      </c>
      <c r="C15" s="2">
        <v>14000000</v>
      </c>
    </row>
    <row r="16" spans="2:12" x14ac:dyDescent="0.3">
      <c r="B16" t="s">
        <v>23</v>
      </c>
      <c r="C16" s="2">
        <v>7200000</v>
      </c>
    </row>
    <row r="17" spans="2:3" x14ac:dyDescent="0.3">
      <c r="B17" t="s">
        <v>16</v>
      </c>
      <c r="C17" s="2">
        <v>15800000</v>
      </c>
    </row>
    <row r="18" spans="2:3" x14ac:dyDescent="0.3">
      <c r="B18" t="s">
        <v>26</v>
      </c>
      <c r="C18" s="2">
        <v>37000000</v>
      </c>
    </row>
    <row r="23" spans="2:3" x14ac:dyDescent="0.3">
      <c r="B23" s="3" t="s">
        <v>3</v>
      </c>
      <c r="C23" t="s">
        <v>33</v>
      </c>
    </row>
    <row r="24" spans="2:3" x14ac:dyDescent="0.3">
      <c r="B24" t="s">
        <v>15</v>
      </c>
      <c r="C24" s="2">
        <v>6320000</v>
      </c>
    </row>
    <row r="25" spans="2:3" x14ac:dyDescent="0.3">
      <c r="B25" t="s">
        <v>11</v>
      </c>
      <c r="C25" s="2">
        <v>14730000</v>
      </c>
    </row>
    <row r="26" spans="2:3" x14ac:dyDescent="0.3">
      <c r="B26" t="s">
        <v>22</v>
      </c>
      <c r="C26" s="2">
        <v>7200000</v>
      </c>
    </row>
    <row r="27" spans="2:3" x14ac:dyDescent="0.3">
      <c r="B27" t="s">
        <v>20</v>
      </c>
      <c r="C27" s="2">
        <v>8750000</v>
      </c>
    </row>
    <row r="28" spans="2:3" x14ac:dyDescent="0.3">
      <c r="B28" t="s">
        <v>26</v>
      </c>
      <c r="C28" s="2">
        <v>37000000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AE59-27F6-43CA-B0C9-9C46BD40470C}">
  <dimension ref="A1:I6"/>
  <sheetViews>
    <sheetView tabSelected="1" workbookViewId="0"/>
  </sheetViews>
  <sheetFormatPr defaultRowHeight="14.4" x14ac:dyDescent="0.3"/>
  <cols>
    <col min="7" max="8" width="9" bestFit="1" customWidth="1"/>
    <col min="9" max="9" width="9.5546875" bestFit="1" customWidth="1"/>
  </cols>
  <sheetData>
    <row r="1" spans="1:9" x14ac:dyDescent="0.3">
      <c r="A1" t="s">
        <v>0</v>
      </c>
      <c r="B1" t="s">
        <v>1</v>
      </c>
      <c r="C1" t="s">
        <v>2</v>
      </c>
      <c r="D1" t="s">
        <v>3</v>
      </c>
      <c r="E1" t="s">
        <v>4</v>
      </c>
      <c r="F1" t="s">
        <v>5</v>
      </c>
      <c r="G1" t="s">
        <v>6</v>
      </c>
      <c r="H1" t="s">
        <v>7</v>
      </c>
      <c r="I1" t="s">
        <v>8</v>
      </c>
    </row>
    <row r="2" spans="1:9" x14ac:dyDescent="0.3">
      <c r="A2" t="s">
        <v>9</v>
      </c>
      <c r="B2" s="1">
        <v>46266</v>
      </c>
      <c r="C2" t="s">
        <v>10</v>
      </c>
      <c r="D2" t="s">
        <v>11</v>
      </c>
      <c r="E2" t="s">
        <v>12</v>
      </c>
      <c r="F2" t="s">
        <v>13</v>
      </c>
      <c r="G2" s="2">
        <v>15</v>
      </c>
      <c r="H2" s="2">
        <v>350000</v>
      </c>
      <c r="I2" s="2">
        <v>5250000</v>
      </c>
    </row>
    <row r="3" spans="1:9" x14ac:dyDescent="0.3">
      <c r="A3" t="s">
        <v>14</v>
      </c>
      <c r="B3" s="1">
        <v>46266</v>
      </c>
      <c r="C3" t="s">
        <v>10</v>
      </c>
      <c r="D3" t="s">
        <v>15</v>
      </c>
      <c r="E3" t="s">
        <v>16</v>
      </c>
      <c r="F3" t="s">
        <v>17</v>
      </c>
      <c r="G3" s="2">
        <v>8</v>
      </c>
      <c r="H3" s="2">
        <v>790000</v>
      </c>
      <c r="I3" s="2">
        <v>6320000</v>
      </c>
    </row>
    <row r="4" spans="1:9" x14ac:dyDescent="0.3">
      <c r="A4" t="s">
        <v>18</v>
      </c>
      <c r="B4" s="1">
        <v>46267</v>
      </c>
      <c r="C4" t="s">
        <v>19</v>
      </c>
      <c r="D4" t="s">
        <v>20</v>
      </c>
      <c r="E4" t="s">
        <v>12</v>
      </c>
      <c r="F4" t="s">
        <v>13</v>
      </c>
      <c r="G4" s="2">
        <v>25</v>
      </c>
      <c r="H4" s="2">
        <v>350000</v>
      </c>
      <c r="I4" s="2">
        <v>8750000</v>
      </c>
    </row>
    <row r="5" spans="1:9" x14ac:dyDescent="0.3">
      <c r="A5" t="s">
        <v>21</v>
      </c>
      <c r="B5" s="1">
        <v>46267</v>
      </c>
      <c r="C5" t="s">
        <v>19</v>
      </c>
      <c r="D5" t="s">
        <v>22</v>
      </c>
      <c r="E5" t="s">
        <v>23</v>
      </c>
      <c r="F5" t="s">
        <v>24</v>
      </c>
      <c r="G5" s="2">
        <v>40</v>
      </c>
      <c r="H5" s="2">
        <v>180000</v>
      </c>
      <c r="I5" s="2">
        <v>7200000</v>
      </c>
    </row>
    <row r="6" spans="1:9" x14ac:dyDescent="0.3">
      <c r="A6" t="s">
        <v>25</v>
      </c>
      <c r="B6" s="1">
        <v>46267</v>
      </c>
      <c r="C6" t="s">
        <v>10</v>
      </c>
      <c r="D6" t="s">
        <v>11</v>
      </c>
      <c r="E6" t="s">
        <v>16</v>
      </c>
      <c r="F6" t="s">
        <v>17</v>
      </c>
      <c r="G6" s="2">
        <v>12</v>
      </c>
      <c r="H6" s="2">
        <v>790000</v>
      </c>
      <c r="I6" s="2">
        <v>9480000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Du lieu ban hang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Hai Anh D25QT02</dc:creator>
  <cp:lastModifiedBy>Do Hai Anh D25QT02</cp:lastModifiedBy>
  <dcterms:created xsi:type="dcterms:W3CDTF">2026-10-15T15:06:50Z</dcterms:created>
  <dcterms:modified xsi:type="dcterms:W3CDTF">2026-10-15T15:06:50Z</dcterms:modified>
</cp:coreProperties>
</file>